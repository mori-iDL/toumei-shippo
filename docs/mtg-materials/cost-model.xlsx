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パネル原価" sheetId="1" state="visible" r:id="rId1"/>
    <sheet name="セット構成・価格案" sheetId="2" state="visible" r:id="rId2"/>
    <sheet name="損益シミュレーション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¥#,##0"/>
    <numFmt numFmtId="165" formatCode="0.0%"/>
    <numFmt numFmtId="166" formatCode="0.0&quot;セット/月&quot;"/>
  </numFmts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666666"/>
      <sz val="10"/>
    </font>
    <font>
      <name val="Arial"/>
      <b val="1"/>
      <sz val="11"/>
    </font>
    <font>
      <name val="Arial"/>
      <sz val="11"/>
    </font>
    <font>
      <name val="Arial"/>
      <color rgb="000000FF"/>
      <sz val="11"/>
    </font>
    <font>
      <name val="Arial"/>
      <b val="1"/>
      <sz val="12"/>
    </font>
  </fonts>
  <fills count="5">
    <fill>
      <patternFill/>
    </fill>
    <fill>
      <patternFill patternType="gray125"/>
    </fill>
    <fill>
      <patternFill patternType="solid">
        <fgColor rgb="00F5EDE0"/>
      </patternFill>
    </fill>
    <fill>
      <patternFill patternType="solid">
        <fgColor rgb="00E8F5E9"/>
      </patternFill>
    </fill>
    <fill>
      <patternFill patternType="solid">
        <fgColor rgb="00FFF8E1"/>
      </patternFill>
    </fill>
  </fills>
  <borders count="3">
    <border>
      <left/>
      <right/>
      <top/>
      <bottom/>
      <diagonal/>
    </border>
    <border>
      <bottom style="medium">
        <color rgb="00999999"/>
      </bottom>
    </border>
    <border>
      <bottom style="thin">
        <color rgb="00DDDDDD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wrapText="1"/>
    </xf>
    <xf numFmtId="0" fontId="4" fillId="0" borderId="2" pivotButton="0" quotePrefix="0" xfId="0"/>
    <xf numFmtId="164" fontId="5" fillId="0" borderId="2" pivotButton="0" quotePrefix="0" xfId="0"/>
    <xf numFmtId="164" fontId="4" fillId="0" borderId="2" pivotButton="0" quotePrefix="0" xfId="0"/>
    <xf numFmtId="0" fontId="3" fillId="0" borderId="0" pivotButton="0" quotePrefix="0" xfId="0"/>
    <xf numFmtId="164" fontId="3" fillId="3" borderId="1" pivotButton="0" quotePrefix="0" xfId="0"/>
    <xf numFmtId="0" fontId="4" fillId="0" borderId="2" applyAlignment="1" pivotButton="0" quotePrefix="0" xfId="0">
      <alignment horizontal="center"/>
    </xf>
    <xf numFmtId="164" fontId="0" fillId="0" borderId="2" pivotButton="0" quotePrefix="0" xfId="0"/>
    <xf numFmtId="165" fontId="0" fillId="0" borderId="2" pivotButton="0" quotePrefix="0" xfId="0"/>
    <xf numFmtId="0" fontId="4" fillId="4" borderId="2" pivotButton="0" quotePrefix="0" xfId="0"/>
    <xf numFmtId="0" fontId="6" fillId="0" borderId="0" pivotButton="0" quotePrefix="0" xfId="0"/>
    <xf numFmtId="0" fontId="4" fillId="0" borderId="0" pivotButton="0" quotePrefix="0" xfId="0"/>
    <xf numFmtId="164" fontId="5" fillId="0" borderId="0" pivotButton="0" quotePrefix="0" xfId="0"/>
    <xf numFmtId="0" fontId="4" fillId="3" borderId="2" applyAlignment="1" pivotButton="0" quotePrefix="0" xfId="0">
      <alignment horizontal="center"/>
    </xf>
    <xf numFmtId="164" fontId="0" fillId="3" borderId="2" pivotButton="0" quotePrefix="0" xfId="0"/>
    <xf numFmtId="0" fontId="3" fillId="3" borderId="0" pivotButton="0" quotePrefix="0" xfId="0"/>
    <xf numFmtId="166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12" customWidth="1" min="4" max="4"/>
    <col width="14" customWidth="1" min="5" max="5"/>
    <col width="12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とうめいしっぽ — パネル原価表</t>
        </is>
      </c>
    </row>
    <row r="2">
      <c r="A2" s="2" t="inlineStr">
        <is>
          <t>MTG⑩ 議論用叩き台 ｜ 2026-03-16</t>
        </is>
      </c>
    </row>
    <row r="4">
      <c r="A4" s="3" t="inlineStr">
        <is>
          <t>樹種</t>
        </is>
      </c>
      <c r="B4" s="3" t="inlineStr">
        <is>
          <t>産地</t>
        </is>
      </c>
      <c r="C4" s="3" t="inlineStr">
        <is>
          <t>木材費</t>
        </is>
      </c>
      <c r="D4" s="3" t="inlineStr">
        <is>
          <t>NC加工費</t>
        </is>
      </c>
      <c r="E4" s="3" t="inlineStr">
        <is>
          <t>研磨・仕上げ</t>
        </is>
      </c>
      <c r="F4" s="3" t="inlineStr">
        <is>
          <t>オイル塗装</t>
        </is>
      </c>
      <c r="G4" s="3" t="inlineStr">
        <is>
          <t>レーザー刻印</t>
        </is>
      </c>
      <c r="H4" s="3" t="inlineStr">
        <is>
          <t>Phase1 合計</t>
        </is>
      </c>
      <c r="I4" s="3" t="inlineStr">
        <is>
          <t>Phase2 合計</t>
        </is>
      </c>
    </row>
    <row r="5">
      <c r="A5" s="4" t="inlineStr">
        <is>
          <t>スギ</t>
        </is>
      </c>
      <c r="B5" s="4" t="inlineStr">
        <is>
          <t>盛岡市産</t>
        </is>
      </c>
      <c r="C5" s="5" t="n">
        <v>400</v>
      </c>
      <c r="D5" s="5" t="n">
        <v>306</v>
      </c>
      <c r="E5" s="5" t="n">
        <v>400</v>
      </c>
      <c r="F5" s="5" t="n">
        <v>100</v>
      </c>
      <c r="G5" s="5" t="n">
        <v>500</v>
      </c>
      <c r="H5" s="6">
        <f>SUM(C5:F5)</f>
        <v/>
      </c>
      <c r="I5" s="6">
        <f>H5+G5</f>
        <v/>
      </c>
    </row>
    <row r="6">
      <c r="A6" s="4" t="inlineStr">
        <is>
          <t>カラマツ</t>
        </is>
      </c>
      <c r="B6" s="4" t="inlineStr">
        <is>
          <t>盛岡市産</t>
        </is>
      </c>
      <c r="C6" s="5" t="n">
        <v>450</v>
      </c>
      <c r="D6" s="5" t="n">
        <v>306</v>
      </c>
      <c r="E6" s="5" t="n">
        <v>400</v>
      </c>
      <c r="F6" s="5" t="n">
        <v>100</v>
      </c>
      <c r="G6" s="5" t="n">
        <v>500</v>
      </c>
      <c r="H6" s="6">
        <f>SUM(C6:F6)</f>
        <v/>
      </c>
      <c r="I6" s="6">
        <f>H6+G6</f>
        <v/>
      </c>
    </row>
    <row r="7">
      <c r="A7" s="4" t="inlineStr">
        <is>
          <t>アカマツ</t>
        </is>
      </c>
      <c r="B7" s="4" t="inlineStr">
        <is>
          <t>盛岡市産</t>
        </is>
      </c>
      <c r="C7" s="5" t="n">
        <v>420</v>
      </c>
      <c r="D7" s="5" t="n">
        <v>306</v>
      </c>
      <c r="E7" s="5" t="n">
        <v>400</v>
      </c>
      <c r="F7" s="5" t="n">
        <v>100</v>
      </c>
      <c r="G7" s="5" t="n">
        <v>500</v>
      </c>
      <c r="H7" s="6">
        <f>SUM(C7:F7)</f>
        <v/>
      </c>
      <c r="I7" s="6">
        <f>H7+G7</f>
        <v/>
      </c>
    </row>
    <row r="8">
      <c r="A8" s="4" t="inlineStr">
        <is>
          <t>ナラ</t>
        </is>
      </c>
      <c r="B8" s="4" t="inlineStr">
        <is>
          <t>盛岡市産</t>
        </is>
      </c>
      <c r="C8" s="5" t="n">
        <v>550</v>
      </c>
      <c r="D8" s="5" t="n">
        <v>306</v>
      </c>
      <c r="E8" s="5" t="n">
        <v>400</v>
      </c>
      <c r="F8" s="5" t="n">
        <v>100</v>
      </c>
      <c r="G8" s="5" t="n">
        <v>500</v>
      </c>
      <c r="H8" s="6">
        <f>SUM(C8:F8)</f>
        <v/>
      </c>
      <c r="I8" s="6">
        <f>H8+G8</f>
        <v/>
      </c>
    </row>
    <row r="9">
      <c r="A9" s="4" t="inlineStr">
        <is>
          <t>クリ</t>
        </is>
      </c>
      <c r="B9" s="4" t="inlineStr">
        <is>
          <t>盛岡市産</t>
        </is>
      </c>
      <c r="C9" s="5" t="n">
        <v>500</v>
      </c>
      <c r="D9" s="5" t="n">
        <v>306</v>
      </c>
      <c r="E9" s="5" t="n">
        <v>400</v>
      </c>
      <c r="F9" s="5" t="n">
        <v>100</v>
      </c>
      <c r="G9" s="5" t="n">
        <v>500</v>
      </c>
      <c r="H9" s="6">
        <f>SUM(C9:F9)</f>
        <v/>
      </c>
      <c r="I9" s="6">
        <f>H9+G9</f>
        <v/>
      </c>
    </row>
    <row r="10">
      <c r="A10" s="4" t="inlineStr">
        <is>
          <t>ヤマザクラ</t>
        </is>
      </c>
      <c r="B10" s="4" t="inlineStr">
        <is>
          <t>岩手県産</t>
        </is>
      </c>
      <c r="C10" s="5" t="n">
        <v>600</v>
      </c>
      <c r="D10" s="5" t="n">
        <v>306</v>
      </c>
      <c r="E10" s="5" t="n">
        <v>400</v>
      </c>
      <c r="F10" s="5" t="n">
        <v>100</v>
      </c>
      <c r="G10" s="5" t="n">
        <v>500</v>
      </c>
      <c r="H10" s="6">
        <f>SUM(C10:F10)</f>
        <v/>
      </c>
      <c r="I10" s="6">
        <f>H10+G10</f>
        <v/>
      </c>
    </row>
    <row r="11">
      <c r="A11" s="4" t="inlineStr">
        <is>
          <t>オニグルミ</t>
        </is>
      </c>
      <c r="B11" s="4" t="inlineStr">
        <is>
          <t>岩手県産</t>
        </is>
      </c>
      <c r="C11" s="5" t="n">
        <v>550</v>
      </c>
      <c r="D11" s="5" t="n">
        <v>306</v>
      </c>
      <c r="E11" s="5" t="n">
        <v>400</v>
      </c>
      <c r="F11" s="5" t="n">
        <v>100</v>
      </c>
      <c r="G11" s="5" t="n">
        <v>500</v>
      </c>
      <c r="H11" s="6">
        <f>SUM(C11:F11)</f>
        <v/>
      </c>
      <c r="I11" s="6">
        <f>H11+G11</f>
        <v/>
      </c>
    </row>
    <row r="12">
      <c r="A12" s="4" t="inlineStr">
        <is>
          <t>イタヤカエデ</t>
        </is>
      </c>
      <c r="B12" s="4" t="inlineStr">
        <is>
          <t>岩手県産</t>
        </is>
      </c>
      <c r="C12" s="5" t="n">
        <v>500</v>
      </c>
      <c r="D12" s="5" t="n">
        <v>306</v>
      </c>
      <c r="E12" s="5" t="n">
        <v>400</v>
      </c>
      <c r="F12" s="5" t="n">
        <v>100</v>
      </c>
      <c r="G12" s="5" t="n">
        <v>500</v>
      </c>
      <c r="H12" s="6">
        <f>SUM(C12:F12)</f>
        <v/>
      </c>
      <c r="I12" s="6">
        <f>H12+G12</f>
        <v/>
      </c>
    </row>
    <row r="13">
      <c r="A13" s="4" t="inlineStr">
        <is>
          <t>ケヤキ</t>
        </is>
      </c>
      <c r="B13" s="4" t="inlineStr">
        <is>
          <t>岩手県産</t>
        </is>
      </c>
      <c r="C13" s="5" t="n">
        <v>600</v>
      </c>
      <c r="D13" s="5" t="n">
        <v>306</v>
      </c>
      <c r="E13" s="5" t="n">
        <v>400</v>
      </c>
      <c r="F13" s="5" t="n">
        <v>100</v>
      </c>
      <c r="G13" s="5" t="n">
        <v>500</v>
      </c>
      <c r="H13" s="6">
        <f>SUM(C13:F13)</f>
        <v/>
      </c>
      <c r="I13" s="6">
        <f>H13+G13</f>
        <v/>
      </c>
    </row>
    <row r="14">
      <c r="A14" s="7" t="inlineStr">
        <is>
          <t>平均</t>
        </is>
      </c>
      <c r="C14" s="8">
        <f>AVERAGE(C5:C13)</f>
        <v/>
      </c>
      <c r="D14" s="8">
        <f>AVERAGE(D5:D13)</f>
        <v/>
      </c>
      <c r="E14" s="8">
        <f>AVERAGE(E5:E13)</f>
        <v/>
      </c>
      <c r="F14" s="8">
        <f>AVERAGE(F5:F13)</f>
        <v/>
      </c>
      <c r="G14" s="8">
        <f>AVERAGE(G5:G13)</f>
        <v/>
      </c>
      <c r="H14" s="8">
        <f>AVERAGE(H5:H13)</f>
        <v/>
      </c>
      <c r="I14" s="8">
        <f>AVERAGE(I5:I13)</f>
        <v/>
      </c>
    </row>
    <row r="16">
      <c r="A16" s="2" t="inlineStr">
        <is>
          <t>※ NC加工費: 5,500円/h × 12個35-45分（消耗品・設備維持費込み）</t>
        </is>
      </c>
    </row>
    <row r="17">
      <c r="A17" s="2" t="inlineStr">
        <is>
          <t>※ レーザー刻印: Phase2のみ（個別パターン刻印）</t>
        </is>
      </c>
    </row>
    <row r="18">
      <c r="A18" s="2" t="inlineStr">
        <is>
          <t>※ 木材費は樹種により変動（青字=入力値、調整可能）</t>
        </is>
      </c>
    </row>
  </sheetData>
  <mergeCells count="5">
    <mergeCell ref="A2:I2"/>
    <mergeCell ref="A1:I1"/>
    <mergeCell ref="A17:I17"/>
    <mergeCell ref="A18:I18"/>
    <mergeCell ref="A16:I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18" customWidth="1" min="1" max="1"/>
    <col width="8" customWidth="1" min="2" max="2"/>
    <col width="10" customWidth="1" min="3" max="3"/>
    <col width="12" customWidth="1" min="4" max="4"/>
    <col width="12" customWidth="1" min="5" max="5"/>
    <col width="14" customWidth="1" min="6" max="6"/>
    <col width="12" customWidth="1" min="7" max="7"/>
    <col width="10" customWidth="1" min="8" max="8"/>
  </cols>
  <sheetData>
    <row r="1">
      <c r="A1" s="1" t="inlineStr">
        <is>
          <t>セット構成・価格案（叩き台）</t>
        </is>
      </c>
    </row>
    <row r="2">
      <c r="A2" s="2" t="inlineStr">
        <is>
          <t>新田さん方向性: 1万円以下 ｜ MTG⑩で議論</t>
        </is>
      </c>
    </row>
    <row r="4">
      <c r="A4" s="3" t="inlineStr">
        <is>
          <t>構成</t>
        </is>
      </c>
      <c r="B4" s="3" t="inlineStr">
        <is>
          <t>枚数</t>
        </is>
      </c>
      <c r="C4" s="3" t="inlineStr">
        <is>
          <t>Phase</t>
        </is>
      </c>
      <c r="D4" s="3" t="inlineStr">
        <is>
          <t>原価/枚</t>
        </is>
      </c>
      <c r="E4" s="3" t="inlineStr">
        <is>
          <t>セット原価</t>
        </is>
      </c>
      <c r="F4" s="3" t="inlineStr">
        <is>
          <t>販売価格案</t>
        </is>
      </c>
      <c r="G4" s="3" t="inlineStr">
        <is>
          <t>粗利</t>
        </is>
      </c>
      <c r="H4" s="3" t="inlineStr">
        <is>
          <t>粗利率</t>
        </is>
      </c>
    </row>
    <row r="5">
      <c r="A5" s="4" t="inlineStr">
        <is>
          <t>単品</t>
        </is>
      </c>
      <c r="B5" s="9" t="n">
        <v>1</v>
      </c>
      <c r="C5" s="4" t="inlineStr">
        <is>
          <t>Phase1</t>
        </is>
      </c>
      <c r="D5" s="5" t="n">
        <v>1256</v>
      </c>
      <c r="E5" s="10">
        <f>D5*B5</f>
        <v/>
      </c>
      <c r="F5" s="5" t="n">
        <v>2800</v>
      </c>
      <c r="G5" s="10">
        <f>F5-E5</f>
        <v/>
      </c>
      <c r="H5" s="11">
        <f>IF(F5=0,0,G5/F5)</f>
        <v/>
      </c>
    </row>
    <row r="6">
      <c r="A6" s="4" t="inlineStr">
        <is>
          <t>3枚セット</t>
        </is>
      </c>
      <c r="B6" s="9" t="n">
        <v>3</v>
      </c>
      <c r="C6" s="4" t="inlineStr">
        <is>
          <t>Phase1</t>
        </is>
      </c>
      <c r="D6" s="5" t="n">
        <v>1256</v>
      </c>
      <c r="E6" s="10">
        <f>D6*B6</f>
        <v/>
      </c>
      <c r="F6" s="5" t="n">
        <v>7500</v>
      </c>
      <c r="G6" s="10">
        <f>F6-E6</f>
        <v/>
      </c>
      <c r="H6" s="11">
        <f>IF(F6=0,0,G6/F6)</f>
        <v/>
      </c>
    </row>
    <row r="7">
      <c r="A7" s="4" t="inlineStr">
        <is>
          <t>9枚コンプリート</t>
        </is>
      </c>
      <c r="B7" s="9" t="n">
        <v>9</v>
      </c>
      <c r="C7" s="4" t="inlineStr">
        <is>
          <t>Phase1</t>
        </is>
      </c>
      <c r="D7" s="5" t="n">
        <v>1256</v>
      </c>
      <c r="E7" s="10">
        <f>D7*B7</f>
        <v/>
      </c>
      <c r="F7" s="5" t="n">
        <v>19800</v>
      </c>
      <c r="G7" s="10">
        <f>F7-E7</f>
        <v/>
      </c>
      <c r="H7" s="11">
        <f>IF(F7=0,0,G7/F7)</f>
        <v/>
      </c>
    </row>
    <row r="8">
      <c r="A8" s="4" t="inlineStr">
        <is>
          <t>単品</t>
        </is>
      </c>
      <c r="B8" s="9" t="n">
        <v>1</v>
      </c>
      <c r="C8" s="12" t="inlineStr">
        <is>
          <t>Phase2</t>
        </is>
      </c>
      <c r="D8" s="5" t="n">
        <v>1906</v>
      </c>
      <c r="E8" s="10">
        <f>D8*B8</f>
        <v/>
      </c>
      <c r="F8" s="5" t="n">
        <v>3800</v>
      </c>
      <c r="G8" s="10">
        <f>F8-E8</f>
        <v/>
      </c>
      <c r="H8" s="11">
        <f>IF(F8=0,0,G8/F8)</f>
        <v/>
      </c>
    </row>
    <row r="9">
      <c r="A9" s="4" t="inlineStr">
        <is>
          <t>3枚セット</t>
        </is>
      </c>
      <c r="B9" s="9" t="n">
        <v>3</v>
      </c>
      <c r="C9" s="12" t="inlineStr">
        <is>
          <t>Phase2</t>
        </is>
      </c>
      <c r="D9" s="5" t="n">
        <v>1906</v>
      </c>
      <c r="E9" s="10">
        <f>D9*B9</f>
        <v/>
      </c>
      <c r="F9" s="5" t="n">
        <v>9800</v>
      </c>
      <c r="G9" s="10">
        <f>F9-E9</f>
        <v/>
      </c>
      <c r="H9" s="11">
        <f>IF(F9=0,0,G9/F9)</f>
        <v/>
      </c>
    </row>
    <row r="10">
      <c r="A10" s="4" t="inlineStr">
        <is>
          <t>9枚コンプリート</t>
        </is>
      </c>
      <c r="B10" s="9" t="n">
        <v>9</v>
      </c>
      <c r="C10" s="12" t="inlineStr">
        <is>
          <t>Phase2</t>
        </is>
      </c>
      <c r="D10" s="5" t="n">
        <v>1906</v>
      </c>
      <c r="E10" s="10">
        <f>D10*B10</f>
        <v/>
      </c>
      <c r="F10" s="5" t="n">
        <v>27800</v>
      </c>
      <c r="G10" s="10">
        <f>F10-E10</f>
        <v/>
      </c>
      <c r="H10" s="11">
        <f>IF(F10=0,0,G10/F10)</f>
        <v/>
      </c>
    </row>
    <row r="12">
      <c r="A12" s="2" t="inlineStr">
        <is>
          <t>※ 販売価格（青字）は叩き台。MTG⑩で議論して決定</t>
        </is>
      </c>
    </row>
    <row r="13">
      <c r="A13" s="2" t="inlineStr">
        <is>
          <t>※ Phase1: NC加工+研磨+塗装の完成品 ｜ Phase2: Phase1 + レーザー刻印（個別パターン）</t>
        </is>
      </c>
    </row>
    <row r="14">
      <c r="A14" s="2" t="inlineStr">
        <is>
          <t>※ 9枚セットには収納トレイ/箱のコスト未加算（要検討）</t>
        </is>
      </c>
    </row>
  </sheetData>
  <mergeCells count="5">
    <mergeCell ref="A12:H12"/>
    <mergeCell ref="A2:H2"/>
    <mergeCell ref="A13:H13"/>
    <mergeCell ref="A14:H14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2" customWidth="1" min="5" max="5"/>
    <col width="14" customWidth="1" min="6" max="6"/>
  </cols>
  <sheetData>
    <row r="1">
      <c r="A1" s="1" t="inlineStr">
        <is>
          <t>月間損益シミュレーション</t>
        </is>
      </c>
    </row>
    <row r="2">
      <c r="A2" s="2" t="inlineStr">
        <is>
          <t>Phase1 3枚セット ¥7,500 ベース</t>
        </is>
      </c>
    </row>
    <row r="4">
      <c r="A4" s="13" t="inlineStr">
        <is>
          <t>前提条件</t>
        </is>
      </c>
    </row>
    <row r="5">
      <c r="A5" s="14" t="inlineStr">
        <is>
          <t>販売価格/セット</t>
        </is>
      </c>
      <c r="B5" s="15" t="n">
        <v>7500</v>
      </c>
    </row>
    <row r="6">
      <c r="A6" s="14" t="inlineStr">
        <is>
          <t>原価/セット</t>
        </is>
      </c>
      <c r="B6" s="15" t="n">
        <v>3768</v>
      </c>
    </row>
    <row r="7">
      <c r="A7" s="14" t="inlineStr">
        <is>
          <t>固定費/月</t>
        </is>
      </c>
      <c r="B7" s="15" t="n">
        <v>20000</v>
      </c>
    </row>
    <row r="9">
      <c r="A9" s="3" t="inlineStr">
        <is>
          <t>月間販売数</t>
        </is>
      </c>
      <c r="B9" s="3" t="inlineStr">
        <is>
          <t>売上</t>
        </is>
      </c>
      <c r="C9" s="3" t="inlineStr">
        <is>
          <t>原価合計</t>
        </is>
      </c>
      <c r="D9" s="3" t="inlineStr">
        <is>
          <t>粗利</t>
        </is>
      </c>
      <c r="E9" s="3" t="inlineStr">
        <is>
          <t>固定費</t>
        </is>
      </c>
      <c r="F9" s="3" t="inlineStr">
        <is>
          <t>営業利益</t>
        </is>
      </c>
    </row>
    <row r="10">
      <c r="A10" s="9" t="n">
        <v>1</v>
      </c>
      <c r="B10" s="10">
        <f>A10*$B$5</f>
        <v/>
      </c>
      <c r="C10" s="10">
        <f>A10*$B$6</f>
        <v/>
      </c>
      <c r="D10" s="10">
        <f>B10-C10</f>
        <v/>
      </c>
      <c r="E10" s="10">
        <f>$B$7</f>
        <v/>
      </c>
      <c r="F10" s="10">
        <f>D10-E10</f>
        <v/>
      </c>
    </row>
    <row r="11">
      <c r="A11" s="9" t="n">
        <v>3</v>
      </c>
      <c r="B11" s="10">
        <f>A11*$B$5</f>
        <v/>
      </c>
      <c r="C11" s="10">
        <f>A11*$B$6</f>
        <v/>
      </c>
      <c r="D11" s="10">
        <f>B11-C11</f>
        <v/>
      </c>
      <c r="E11" s="10">
        <f>$B$7</f>
        <v/>
      </c>
      <c r="F11" s="10">
        <f>D11-E11</f>
        <v/>
      </c>
    </row>
    <row r="12">
      <c r="A12" s="16" t="n">
        <v>5</v>
      </c>
      <c r="B12" s="17">
        <f>A12*$B$5</f>
        <v/>
      </c>
      <c r="C12" s="17">
        <f>A12*$B$6</f>
        <v/>
      </c>
      <c r="D12" s="17">
        <f>B12-C12</f>
        <v/>
      </c>
      <c r="E12" s="17">
        <f>$B$7</f>
        <v/>
      </c>
      <c r="F12" s="17">
        <f>D12-E12</f>
        <v/>
      </c>
    </row>
    <row r="13">
      <c r="A13" s="9" t="n">
        <v>10</v>
      </c>
      <c r="B13" s="10">
        <f>A13*$B$5</f>
        <v/>
      </c>
      <c r="C13" s="10">
        <f>A13*$B$6</f>
        <v/>
      </c>
      <c r="D13" s="10">
        <f>B13-C13</f>
        <v/>
      </c>
      <c r="E13" s="10">
        <f>$B$7</f>
        <v/>
      </c>
      <c r="F13" s="10">
        <f>D13-E13</f>
        <v/>
      </c>
    </row>
    <row r="14">
      <c r="A14" s="9" t="n">
        <v>15</v>
      </c>
      <c r="B14" s="10">
        <f>A14*$B$5</f>
        <v/>
      </c>
      <c r="C14" s="10">
        <f>A14*$B$6</f>
        <v/>
      </c>
      <c r="D14" s="10">
        <f>B14-C14</f>
        <v/>
      </c>
      <c r="E14" s="10">
        <f>$B$7</f>
        <v/>
      </c>
      <c r="F14" s="10">
        <f>D14-E14</f>
        <v/>
      </c>
    </row>
    <row r="15">
      <c r="A15" s="9" t="n">
        <v>20</v>
      </c>
      <c r="B15" s="10">
        <f>A15*$B$5</f>
        <v/>
      </c>
      <c r="C15" s="10">
        <f>A15*$B$6</f>
        <v/>
      </c>
      <c r="D15" s="10">
        <f>B15-C15</f>
        <v/>
      </c>
      <c r="E15" s="10">
        <f>$B$7</f>
        <v/>
      </c>
      <c r="F15" s="10">
        <f>D15-E15</f>
        <v/>
      </c>
    </row>
    <row r="16">
      <c r="A16" s="9" t="n">
        <v>30</v>
      </c>
      <c r="B16" s="10">
        <f>A16*$B$5</f>
        <v/>
      </c>
      <c r="C16" s="10">
        <f>A16*$B$6</f>
        <v/>
      </c>
      <c r="D16" s="10">
        <f>B16-C16</f>
        <v/>
      </c>
      <c r="E16" s="10">
        <f>$B$7</f>
        <v/>
      </c>
      <c r="F16" s="10">
        <f>D16-E16</f>
        <v/>
      </c>
    </row>
    <row r="18">
      <c r="A18" s="18" t="inlineStr">
        <is>
          <t>損益分岐点</t>
        </is>
      </c>
      <c r="B18" s="19">
        <f>ROUNDUP($B$7/($B$5-$B$6),1)</f>
        <v/>
      </c>
    </row>
    <row r="20">
      <c r="A20" s="2" t="inlineStr">
        <is>
          <t>※ 固定費¥20,000/月は仮設定（EC運営費等）。実態に合わせて調整</t>
        </is>
      </c>
    </row>
    <row r="21">
      <c r="A21" s="2" t="inlineStr">
        <is>
          <t>※ 青字の数値を変更するとシミュレーション結果が自動更新されます</t>
        </is>
      </c>
    </row>
  </sheetData>
  <mergeCells count="4">
    <mergeCell ref="A20:F20"/>
    <mergeCell ref="A2:F2"/>
    <mergeCell ref="A21:F21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2026-03-15T15:23:17Z</dcterms:created>
  <dcterms:modified xsi:type="dcterms:W3CDTF">2026-03-15T15:23:17Z</dcterms:modified>
</cp:coreProperties>
</file>